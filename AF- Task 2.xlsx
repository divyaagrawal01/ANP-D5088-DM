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Bhavishya\Desktop\"/>
    </mc:Choice>
  </mc:AlternateContent>
  <xr:revisionPtr revIDLastSave="0" documentId="13_ncr:1_{606B4648-858B-4DB4-B114-115AEF95C38C}" xr6:coauthVersionLast="47" xr6:coauthVersionMax="47" xr10:uidLastSave="{00000000-0000-0000-0000-000000000000}"/>
  <bookViews>
    <workbookView xWindow="-108" yWindow="-108" windowWidth="23256" windowHeight="12456" activeTab="1" xr2:uid="{00000000-000D-0000-FFFF-FFFF00000000}"/>
  </bookViews>
  <sheets>
    <sheet name="Expense" sheetId="1" r:id="rId1"/>
    <sheet name="Tasks" sheetId="2" r:id="rId2"/>
    <sheet name="Sheet1" sheetId="3" r:id="rId3"/>
  </sheets>
  <definedNames>
    <definedName name="_xlnm._FilterDatabase" localSheetId="0" hidden="1">Expense!$I$53:$J$103</definedName>
    <definedName name="_xlnm._FilterDatabase" localSheetId="2" hidden="1">Sheet1!$F$67:$G$67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2" i="1"/>
  <c r="D19" i="3"/>
  <c r="D13" i="3"/>
  <c r="D14" i="3"/>
  <c r="D21" i="3"/>
  <c r="D17" i="3"/>
  <c r="D12" i="3"/>
  <c r="D18" i="3"/>
  <c r="D11" i="3"/>
  <c r="D16" i="3"/>
  <c r="D15" i="3"/>
  <c r="D20" i="3"/>
  <c r="D3" i="3"/>
  <c r="D4" i="3"/>
  <c r="D5" i="3"/>
  <c r="C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6A9AB8-751E-4A42-805F-EC4202039E26}"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<sst xmlns="http://schemas.openxmlformats.org/spreadsheetml/2006/main" count="208" uniqueCount="43">
  <si>
    <t>Date</t>
  </si>
  <si>
    <t>Expense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</si>
  <si>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</si>
  <si>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</si>
  <si>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</si>
  <si>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</si>
  <si>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</si>
  <si>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</si>
  <si>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</si>
  <si>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</si>
  <si>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</si>
  <si>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</si>
  <si>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</si>
  <si>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</si>
  <si>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</si>
  <si>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</si>
  <si>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</si>
  <si>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</si>
  <si>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</si>
  <si>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</si>
  <si>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</si>
  <si>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</si>
  <si>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</si>
  <si>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</si>
  <si>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Category</t>
  </si>
  <si>
    <t>Essential</t>
  </si>
  <si>
    <t>Non-Essential</t>
  </si>
  <si>
    <t>Online shopping:</t>
  </si>
  <si>
    <t>Ordering food:</t>
  </si>
  <si>
    <t>Gifts:</t>
  </si>
  <si>
    <t>Medicine:</t>
  </si>
  <si>
    <t>Other essential items:</t>
  </si>
  <si>
    <t>Q1:</t>
  </si>
  <si>
    <t>Q2:</t>
  </si>
  <si>
    <t>Vegetables &amp; Fruit:</t>
  </si>
  <si>
    <t>Fish &amp; Chicken:</t>
  </si>
  <si>
    <t>Movie with friends:</t>
  </si>
  <si>
    <t>Mobile Bill Payment:</t>
  </si>
  <si>
    <t>Cab to office:</t>
  </si>
  <si>
    <t>Trip:</t>
  </si>
  <si>
    <t>Q3:</t>
  </si>
  <si>
    <t>Expenses</t>
  </si>
  <si>
    <t>Cost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</si>
</sst>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sz val="11"/>
      <color rgb="FF000000"/>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0" tint="-4.9989318521683403E-2"/>
      </left>
      <right/>
      <top style="thin">
        <color theme="0" tint="-4.9989318521683403E-2"/>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
      <left style="thin">
        <color theme="0" tint="-0.14999847407452621"/>
      </left>
      <right/>
      <top style="thin">
        <color theme="0" tint="-0.14999847407452621"/>
      </top>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4" fontId="3" fillId="4" borderId="1" xfId="0" applyNumberFormat="1"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5" fillId="0" borderId="0" xfId="0" applyFont="1" applyAlignment="1">
      <alignment horizontal="center" wrapText="1"/>
    </xf>
    <xf numFmtId="0" fontId="0" fillId="0" borderId="1" xfId="0" applyBorder="1"/>
    <xf numFmtId="0" fontId="5" fillId="0" borderId="0" xfId="0" applyFont="1" applyAlignment="1">
      <alignment horizontal="center"/>
    </xf>
    <xf numFmtId="0" fontId="6" fillId="0" borderId="0" xfId="0" applyFont="1"/>
    <xf numFmtId="0" fontId="3" fillId="0" borderId="1" xfId="0" applyFont="1" applyBorder="1" applyAlignment="1">
      <alignment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6" borderId="0" xfId="0" applyFill="1"/>
    <xf numFmtId="0" fontId="3"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zoomScale="145" zoomScaleNormal="145" workbookViewId="0">
      <selection activeCell="E51" sqref="E51"/>
    </sheetView>
  </sheetViews>
  <sheetFormatPr defaultRowHeight="14.4" x14ac:dyDescent="0.3"/>
  <cols>
    <col min="1" max="1" width="17.109375" customWidth="1"/>
    <col min="2" max="2" width="24.5546875" customWidth="1"/>
    <col min="3" max="3" width="14.44140625" style="11" customWidth="1"/>
    <col min="4" max="4" width="12.33203125" bestFit="1" customWidth="1"/>
    <col min="5" max="5" width="12.88671875" bestFit="1" customWidth="1"/>
    <col min="9" max="9" width="23.44140625" bestFit="1" customWidth="1"/>
    <col min="10" max="10" width="10.6640625" bestFit="1" customWidth="1"/>
    <col min="11" max="11" width="8.88671875" customWidth="1"/>
  </cols>
  <sheetData>
    <row r="1" spans="1:5" ht="13.8" customHeight="1" x14ac:dyDescent="0.3">
      <c r="A1" s="3" t="s">
        <v>0</v>
      </c>
      <c r="B1" s="3" t="s">
        <v>14</v>
      </c>
      <c r="C1" s="8" t="s">
        <v>41</v>
      </c>
      <c r="D1" s="8" t="s">
        <v>24</v>
      </c>
      <c r="E1" s="8" t="s">
        <v>42</v>
      </c>
    </row>
    <row r="2" spans="1:5" ht="18" customHeight="1" x14ac:dyDescent="0.3">
      <c r="A2" s="4">
        <v>44470</v>
      </c>
      <c r="B2" s="5" t="s">
        <v>2</v>
      </c>
      <c r="C2" s="9">
        <v>2300</v>
      </c>
      <c r="D2" s="15" t="s">
        <v>25</v>
      </c>
      <c r="E2" s="15" t="str">
        <f>IF(C2&gt;2000,"Over Budget", "Within Budget")</f>
        <v>Over Budget</v>
      </c>
    </row>
    <row r="3" spans="1:5" x14ac:dyDescent="0.3">
      <c r="A3" s="6">
        <v>44470</v>
      </c>
      <c r="B3" s="7" t="s">
        <v>3</v>
      </c>
      <c r="C3" s="9">
        <v>767</v>
      </c>
      <c r="D3" s="15" t="s">
        <v>26</v>
      </c>
      <c r="E3" s="15" t="str">
        <f t="shared" ref="E3:E51" si="0">IF(C3&gt;2000,"Over Budget", "Within Budget")</f>
        <v>Within Budget</v>
      </c>
    </row>
    <row r="4" spans="1:5" x14ac:dyDescent="0.3">
      <c r="A4" s="6">
        <v>44470</v>
      </c>
      <c r="B4" s="7" t="s">
        <v>4</v>
      </c>
      <c r="C4" s="10">
        <v>2500</v>
      </c>
      <c r="D4" s="15" t="s">
        <v>25</v>
      </c>
      <c r="E4" s="15" t="str">
        <f t="shared" si="0"/>
        <v>Over Budget</v>
      </c>
    </row>
    <row r="5" spans="1:5" x14ac:dyDescent="0.3">
      <c r="A5" s="6">
        <v>44473</v>
      </c>
      <c r="B5" s="7" t="s">
        <v>5</v>
      </c>
      <c r="C5" s="9">
        <v>710</v>
      </c>
      <c r="D5" s="15" t="s">
        <v>25</v>
      </c>
      <c r="E5" s="15" t="str">
        <f t="shared" si="0"/>
        <v>Within Budget</v>
      </c>
    </row>
    <row r="6" spans="1:5" x14ac:dyDescent="0.3">
      <c r="A6" s="4">
        <v>44473</v>
      </c>
      <c r="B6" s="5" t="s">
        <v>6</v>
      </c>
      <c r="C6" s="9">
        <v>760</v>
      </c>
      <c r="D6" s="15" t="s">
        <v>26</v>
      </c>
      <c r="E6" s="15" t="str">
        <f t="shared" si="0"/>
        <v>Within Budget</v>
      </c>
    </row>
    <row r="7" spans="1:5" x14ac:dyDescent="0.3">
      <c r="A7" s="6">
        <v>44476</v>
      </c>
      <c r="B7" s="7" t="s">
        <v>10</v>
      </c>
      <c r="C7" s="10">
        <v>1900</v>
      </c>
      <c r="D7" s="15" t="s">
        <v>26</v>
      </c>
      <c r="E7" s="15" t="str">
        <f t="shared" si="0"/>
        <v>Within Budget</v>
      </c>
    </row>
    <row r="8" spans="1:5" x14ac:dyDescent="0.3">
      <c r="A8" s="4">
        <v>44477</v>
      </c>
      <c r="B8" s="5" t="s">
        <v>7</v>
      </c>
      <c r="C8" s="9">
        <v>450</v>
      </c>
      <c r="D8" s="15" t="s">
        <v>26</v>
      </c>
      <c r="E8" s="15" t="str">
        <f t="shared" si="0"/>
        <v>Within Budget</v>
      </c>
    </row>
    <row r="9" spans="1:5" x14ac:dyDescent="0.3">
      <c r="A9" s="6">
        <v>44484</v>
      </c>
      <c r="B9" s="7" t="s">
        <v>8</v>
      </c>
      <c r="C9" s="9">
        <v>620</v>
      </c>
      <c r="D9" s="15" t="s">
        <v>26</v>
      </c>
      <c r="E9" s="15" t="str">
        <f t="shared" si="0"/>
        <v>Within Budget</v>
      </c>
    </row>
    <row r="10" spans="1:5" x14ac:dyDescent="0.3">
      <c r="A10" s="6">
        <v>44485</v>
      </c>
      <c r="B10" s="7" t="s">
        <v>11</v>
      </c>
      <c r="C10" s="9">
        <v>470</v>
      </c>
      <c r="D10" s="15" t="s">
        <v>26</v>
      </c>
      <c r="E10" s="15" t="str">
        <f t="shared" si="0"/>
        <v>Within Budget</v>
      </c>
    </row>
    <row r="11" spans="1:5" x14ac:dyDescent="0.3">
      <c r="A11" s="6">
        <v>44487</v>
      </c>
      <c r="B11" s="7" t="s">
        <v>3</v>
      </c>
      <c r="C11" s="9">
        <v>970</v>
      </c>
      <c r="D11" s="15" t="s">
        <v>26</v>
      </c>
      <c r="E11" s="15" t="str">
        <f t="shared" si="0"/>
        <v>Within Budget</v>
      </c>
    </row>
    <row r="12" spans="1:5" x14ac:dyDescent="0.3">
      <c r="A12" s="6">
        <v>44487</v>
      </c>
      <c r="B12" s="5" t="s">
        <v>2</v>
      </c>
      <c r="C12" s="10">
        <v>1075</v>
      </c>
      <c r="D12" s="15" t="s">
        <v>25</v>
      </c>
      <c r="E12" s="15" t="str">
        <f t="shared" si="0"/>
        <v>Within Budget</v>
      </c>
    </row>
    <row r="13" spans="1:5" x14ac:dyDescent="0.3">
      <c r="A13" s="6">
        <v>44488</v>
      </c>
      <c r="B13" s="7" t="s">
        <v>7</v>
      </c>
      <c r="C13" s="9">
        <v>489</v>
      </c>
      <c r="D13" s="15" t="s">
        <v>26</v>
      </c>
      <c r="E13" s="15" t="str">
        <f t="shared" si="0"/>
        <v>Within Budget</v>
      </c>
    </row>
    <row r="14" spans="1:5" x14ac:dyDescent="0.3">
      <c r="A14" s="6">
        <v>44491</v>
      </c>
      <c r="B14" s="7" t="s">
        <v>4</v>
      </c>
      <c r="C14" s="10">
        <v>1574.1</v>
      </c>
      <c r="D14" s="15" t="s">
        <v>25</v>
      </c>
      <c r="E14" s="15" t="str">
        <f t="shared" si="0"/>
        <v>Within Budget</v>
      </c>
    </row>
    <row r="15" spans="1:5" x14ac:dyDescent="0.3">
      <c r="A15" s="6">
        <v>44491</v>
      </c>
      <c r="B15" s="7" t="s">
        <v>6</v>
      </c>
      <c r="C15" s="9">
        <v>550</v>
      </c>
      <c r="D15" s="15" t="s">
        <v>26</v>
      </c>
      <c r="E15" s="15" t="str">
        <f t="shared" si="0"/>
        <v>Within Budget</v>
      </c>
    </row>
    <row r="16" spans="1:5" x14ac:dyDescent="0.3">
      <c r="A16" s="6">
        <v>44494</v>
      </c>
      <c r="B16" s="7" t="s">
        <v>9</v>
      </c>
      <c r="C16" s="9">
        <v>423</v>
      </c>
      <c r="D16" s="15" t="s">
        <v>25</v>
      </c>
      <c r="E16" s="15" t="str">
        <f t="shared" si="0"/>
        <v>Within Budget</v>
      </c>
    </row>
    <row r="17" spans="1:5" x14ac:dyDescent="0.3">
      <c r="A17" s="6">
        <v>44496</v>
      </c>
      <c r="B17" s="7" t="s">
        <v>9</v>
      </c>
      <c r="C17" s="9">
        <v>358.22</v>
      </c>
      <c r="D17" s="15" t="s">
        <v>25</v>
      </c>
      <c r="E17" s="15" t="str">
        <f t="shared" si="0"/>
        <v>Within Budget</v>
      </c>
    </row>
    <row r="18" spans="1:5" x14ac:dyDescent="0.3">
      <c r="A18" s="6">
        <v>44496</v>
      </c>
      <c r="B18" s="7" t="s">
        <v>8</v>
      </c>
      <c r="C18" s="9">
        <v>520</v>
      </c>
      <c r="D18" s="15" t="s">
        <v>26</v>
      </c>
      <c r="E18" s="15" t="str">
        <f t="shared" si="0"/>
        <v>Within Budget</v>
      </c>
    </row>
    <row r="19" spans="1:5" x14ac:dyDescent="0.3">
      <c r="A19" s="4">
        <v>44497</v>
      </c>
      <c r="B19" s="5" t="s">
        <v>5</v>
      </c>
      <c r="C19" s="9">
        <v>300</v>
      </c>
      <c r="D19" s="15" t="s">
        <v>25</v>
      </c>
      <c r="E19" s="15" t="str">
        <f t="shared" si="0"/>
        <v>Within Budget</v>
      </c>
    </row>
    <row r="20" spans="1:5" x14ac:dyDescent="0.3">
      <c r="A20" s="4">
        <v>44498</v>
      </c>
      <c r="B20" s="5" t="s">
        <v>9</v>
      </c>
      <c r="C20" s="9">
        <v>407.05</v>
      </c>
      <c r="D20" s="15" t="s">
        <v>25</v>
      </c>
      <c r="E20" s="15" t="str">
        <f t="shared" si="0"/>
        <v>Within Budget</v>
      </c>
    </row>
    <row r="21" spans="1:5" x14ac:dyDescent="0.3">
      <c r="A21" s="4">
        <v>44499</v>
      </c>
      <c r="B21" s="5" t="s">
        <v>4</v>
      </c>
      <c r="C21" s="9">
        <v>300</v>
      </c>
      <c r="D21" s="15" t="s">
        <v>25</v>
      </c>
      <c r="E21" s="15" t="str">
        <f t="shared" si="0"/>
        <v>Within Budget</v>
      </c>
    </row>
    <row r="22" spans="1:5" x14ac:dyDescent="0.3">
      <c r="A22" s="6">
        <v>44501</v>
      </c>
      <c r="B22" s="7" t="s">
        <v>3</v>
      </c>
      <c r="C22" s="10">
        <v>2327</v>
      </c>
      <c r="D22" s="15" t="s">
        <v>26</v>
      </c>
      <c r="E22" s="15" t="str">
        <f t="shared" si="0"/>
        <v>Over Budget</v>
      </c>
    </row>
    <row r="23" spans="1:5" x14ac:dyDescent="0.3">
      <c r="A23" s="6">
        <v>44502</v>
      </c>
      <c r="B23" s="7" t="s">
        <v>10</v>
      </c>
      <c r="C23" s="9">
        <v>1150</v>
      </c>
      <c r="D23" s="15" t="s">
        <v>26</v>
      </c>
      <c r="E23" s="15" t="str">
        <f t="shared" si="0"/>
        <v>Within Budget</v>
      </c>
    </row>
    <row r="24" spans="1:5" x14ac:dyDescent="0.3">
      <c r="A24" s="6">
        <v>44504</v>
      </c>
      <c r="B24" s="7" t="s">
        <v>10</v>
      </c>
      <c r="C24" s="10">
        <v>1138</v>
      </c>
      <c r="D24" s="15" t="s">
        <v>26</v>
      </c>
      <c r="E24" s="15" t="str">
        <f t="shared" si="0"/>
        <v>Within Budget</v>
      </c>
    </row>
    <row r="25" spans="1:5" x14ac:dyDescent="0.3">
      <c r="A25" s="4">
        <v>44505</v>
      </c>
      <c r="B25" s="5" t="s">
        <v>13</v>
      </c>
      <c r="C25" s="9">
        <v>500</v>
      </c>
      <c r="D25" s="15" t="s">
        <v>26</v>
      </c>
      <c r="E25" s="15" t="str">
        <f t="shared" si="0"/>
        <v>Within Budget</v>
      </c>
    </row>
    <row r="26" spans="1:5" x14ac:dyDescent="0.3">
      <c r="A26" s="4">
        <v>44508</v>
      </c>
      <c r="B26" s="5" t="s">
        <v>6</v>
      </c>
      <c r="C26" s="9">
        <v>702</v>
      </c>
      <c r="D26" s="15" t="s">
        <v>26</v>
      </c>
      <c r="E26" s="15" t="str">
        <f t="shared" si="0"/>
        <v>Within Budget</v>
      </c>
    </row>
    <row r="27" spans="1:5" x14ac:dyDescent="0.3">
      <c r="A27" s="6">
        <v>44509</v>
      </c>
      <c r="B27" s="7" t="s">
        <v>4</v>
      </c>
      <c r="C27" s="10">
        <v>1600</v>
      </c>
      <c r="D27" s="15" t="s">
        <v>25</v>
      </c>
      <c r="E27" s="15" t="str">
        <f t="shared" si="0"/>
        <v>Within Budget</v>
      </c>
    </row>
    <row r="28" spans="1:5" x14ac:dyDescent="0.3">
      <c r="A28" s="6">
        <v>44512</v>
      </c>
      <c r="B28" s="7" t="s">
        <v>5</v>
      </c>
      <c r="C28" s="9">
        <v>600</v>
      </c>
      <c r="D28" s="15" t="s">
        <v>25</v>
      </c>
      <c r="E28" s="15" t="str">
        <f t="shared" si="0"/>
        <v>Within Budget</v>
      </c>
    </row>
    <row r="29" spans="1:5" ht="19.2" customHeight="1" x14ac:dyDescent="0.3">
      <c r="A29" s="4">
        <v>44515</v>
      </c>
      <c r="B29" s="5" t="s">
        <v>13</v>
      </c>
      <c r="C29" s="9">
        <v>900</v>
      </c>
      <c r="D29" s="15" t="s">
        <v>26</v>
      </c>
      <c r="E29" s="15" t="str">
        <f t="shared" si="0"/>
        <v>Within Budget</v>
      </c>
    </row>
    <row r="30" spans="1:5" x14ac:dyDescent="0.3">
      <c r="A30" s="6">
        <v>44515</v>
      </c>
      <c r="B30" s="5" t="s">
        <v>6</v>
      </c>
      <c r="C30" s="9">
        <v>150</v>
      </c>
      <c r="D30" s="15" t="s">
        <v>26</v>
      </c>
      <c r="E30" s="15" t="str">
        <f t="shared" si="0"/>
        <v>Within Budget</v>
      </c>
    </row>
    <row r="31" spans="1:5" x14ac:dyDescent="0.3">
      <c r="A31" s="4">
        <v>44515</v>
      </c>
      <c r="B31" s="5" t="s">
        <v>2</v>
      </c>
      <c r="C31" s="9">
        <v>2100</v>
      </c>
      <c r="D31" s="15" t="s">
        <v>25</v>
      </c>
      <c r="E31" s="15" t="str">
        <f t="shared" si="0"/>
        <v>Over Budget</v>
      </c>
    </row>
    <row r="32" spans="1:5" x14ac:dyDescent="0.3">
      <c r="A32" s="4">
        <v>44517</v>
      </c>
      <c r="B32" s="5" t="s">
        <v>11</v>
      </c>
      <c r="C32" s="9">
        <v>470.63</v>
      </c>
      <c r="D32" s="15" t="s">
        <v>25</v>
      </c>
      <c r="E32" s="15" t="str">
        <f t="shared" si="0"/>
        <v>Within Budget</v>
      </c>
    </row>
    <row r="33" spans="1:5" x14ac:dyDescent="0.3">
      <c r="A33" s="4">
        <v>44517</v>
      </c>
      <c r="B33" s="5" t="s">
        <v>9</v>
      </c>
      <c r="C33" s="9">
        <v>322.64</v>
      </c>
      <c r="D33" s="15" t="s">
        <v>25</v>
      </c>
      <c r="E33" s="15" t="str">
        <f t="shared" si="0"/>
        <v>Within Budget</v>
      </c>
    </row>
    <row r="34" spans="1:5" x14ac:dyDescent="0.3">
      <c r="A34" s="4">
        <v>44518</v>
      </c>
      <c r="B34" s="7" t="s">
        <v>8</v>
      </c>
      <c r="C34" s="9">
        <v>428</v>
      </c>
      <c r="D34" s="15" t="s">
        <v>26</v>
      </c>
      <c r="E34" s="15" t="str">
        <f t="shared" si="0"/>
        <v>Within Budget</v>
      </c>
    </row>
    <row r="35" spans="1:5" x14ac:dyDescent="0.3">
      <c r="A35" s="4">
        <v>44519</v>
      </c>
      <c r="B35" s="5" t="s">
        <v>5</v>
      </c>
      <c r="C35" s="9">
        <v>447</v>
      </c>
      <c r="D35" s="15" t="s">
        <v>25</v>
      </c>
      <c r="E35" s="15" t="str">
        <f t="shared" si="0"/>
        <v>Within Budget</v>
      </c>
    </row>
    <row r="36" spans="1:5" x14ac:dyDescent="0.3">
      <c r="A36" s="4">
        <v>44522</v>
      </c>
      <c r="B36" s="5" t="s">
        <v>4</v>
      </c>
      <c r="C36" s="10">
        <v>1720</v>
      </c>
      <c r="D36" s="15" t="s">
        <v>25</v>
      </c>
      <c r="E36" s="15" t="str">
        <f t="shared" si="0"/>
        <v>Within Budget</v>
      </c>
    </row>
    <row r="37" spans="1:5" x14ac:dyDescent="0.3">
      <c r="A37" s="6">
        <v>44524</v>
      </c>
      <c r="B37" s="7" t="s">
        <v>6</v>
      </c>
      <c r="C37" s="9">
        <v>540</v>
      </c>
      <c r="D37" s="15" t="s">
        <v>26</v>
      </c>
      <c r="E37" s="15" t="str">
        <f t="shared" si="0"/>
        <v>Within Budget</v>
      </c>
    </row>
    <row r="38" spans="1:5" x14ac:dyDescent="0.3">
      <c r="A38" s="4">
        <v>44525</v>
      </c>
      <c r="B38" s="5" t="s">
        <v>7</v>
      </c>
      <c r="C38" s="9">
        <v>314</v>
      </c>
      <c r="D38" s="15" t="s">
        <v>26</v>
      </c>
      <c r="E38" s="15" t="str">
        <f t="shared" si="0"/>
        <v>Within Budget</v>
      </c>
    </row>
    <row r="39" spans="1:5" ht="18" customHeight="1" x14ac:dyDescent="0.3">
      <c r="A39" s="4">
        <v>44526</v>
      </c>
      <c r="B39" s="5" t="s">
        <v>8</v>
      </c>
      <c r="C39" s="9">
        <v>518</v>
      </c>
      <c r="D39" s="15" t="s">
        <v>26</v>
      </c>
      <c r="E39" s="15" t="str">
        <f t="shared" si="0"/>
        <v>Within Budget</v>
      </c>
    </row>
    <row r="40" spans="1:5" ht="15.6" customHeight="1" x14ac:dyDescent="0.3">
      <c r="A40" s="4">
        <v>44526</v>
      </c>
      <c r="B40" s="7" t="s">
        <v>3</v>
      </c>
      <c r="C40" s="10">
        <v>2000</v>
      </c>
      <c r="D40" s="15" t="s">
        <v>26</v>
      </c>
      <c r="E40" s="15" t="str">
        <f t="shared" si="0"/>
        <v>Within Budget</v>
      </c>
    </row>
    <row r="41" spans="1:5" x14ac:dyDescent="0.3">
      <c r="A41" s="6">
        <v>44529</v>
      </c>
      <c r="B41" s="7" t="s">
        <v>7</v>
      </c>
      <c r="C41" s="9">
        <v>337</v>
      </c>
      <c r="D41" s="15" t="s">
        <v>26</v>
      </c>
      <c r="E41" s="15" t="str">
        <f t="shared" si="0"/>
        <v>Within Budget</v>
      </c>
    </row>
    <row r="42" spans="1:5" x14ac:dyDescent="0.3">
      <c r="A42" s="4">
        <v>44530</v>
      </c>
      <c r="B42" s="5" t="s">
        <v>8</v>
      </c>
      <c r="C42" s="9">
        <v>500</v>
      </c>
      <c r="D42" s="15" t="s">
        <v>26</v>
      </c>
      <c r="E42" s="15" t="str">
        <f t="shared" si="0"/>
        <v>Within Budget</v>
      </c>
    </row>
    <row r="43" spans="1:5" x14ac:dyDescent="0.3">
      <c r="A43" s="4">
        <v>44531</v>
      </c>
      <c r="B43" s="5" t="s">
        <v>4</v>
      </c>
      <c r="C43" s="10">
        <v>2500</v>
      </c>
      <c r="D43" s="15" t="s">
        <v>25</v>
      </c>
      <c r="E43" s="15" t="str">
        <f t="shared" si="0"/>
        <v>Over Budget</v>
      </c>
    </row>
    <row r="44" spans="1:5" x14ac:dyDescent="0.3">
      <c r="A44" s="6">
        <v>44534</v>
      </c>
      <c r="B44" s="7" t="s">
        <v>5</v>
      </c>
      <c r="C44" s="9">
        <v>710</v>
      </c>
      <c r="D44" s="15" t="s">
        <v>25</v>
      </c>
      <c r="E44" s="15" t="str">
        <f t="shared" si="0"/>
        <v>Within Budget</v>
      </c>
    </row>
    <row r="45" spans="1:5" x14ac:dyDescent="0.3">
      <c r="A45" s="4">
        <v>44537</v>
      </c>
      <c r="B45" s="5" t="s">
        <v>2</v>
      </c>
      <c r="C45" s="9">
        <v>2300</v>
      </c>
      <c r="D45" s="15" t="s">
        <v>25</v>
      </c>
      <c r="E45" s="15" t="str">
        <f t="shared" si="0"/>
        <v>Over Budget</v>
      </c>
    </row>
    <row r="46" spans="1:5" x14ac:dyDescent="0.3">
      <c r="A46" s="4">
        <v>44539</v>
      </c>
      <c r="B46" s="5" t="s">
        <v>12</v>
      </c>
      <c r="C46" s="9">
        <v>12000</v>
      </c>
      <c r="D46" s="15" t="s">
        <v>25</v>
      </c>
      <c r="E46" s="15" t="str">
        <f t="shared" si="0"/>
        <v>Over Budget</v>
      </c>
    </row>
    <row r="47" spans="1:5" x14ac:dyDescent="0.3">
      <c r="A47" s="4">
        <v>44545</v>
      </c>
      <c r="B47" s="7" t="s">
        <v>10</v>
      </c>
      <c r="C47" s="9">
        <v>1500</v>
      </c>
      <c r="D47" s="15" t="s">
        <v>26</v>
      </c>
      <c r="E47" s="15" t="str">
        <f t="shared" si="0"/>
        <v>Within Budget</v>
      </c>
    </row>
    <row r="48" spans="1:5" x14ac:dyDescent="0.3">
      <c r="A48" s="4">
        <v>44547</v>
      </c>
      <c r="B48" s="5" t="s">
        <v>11</v>
      </c>
      <c r="C48" s="9">
        <v>470.63</v>
      </c>
      <c r="D48" s="15" t="s">
        <v>25</v>
      </c>
      <c r="E48" s="15" t="str">
        <f t="shared" si="0"/>
        <v>Within Budget</v>
      </c>
    </row>
    <row r="49" spans="1:10" x14ac:dyDescent="0.3">
      <c r="A49" s="4">
        <v>44550</v>
      </c>
      <c r="B49" s="5" t="s">
        <v>7</v>
      </c>
      <c r="C49" s="9">
        <v>267</v>
      </c>
      <c r="D49" s="15" t="s">
        <v>26</v>
      </c>
      <c r="E49" s="15" t="str">
        <f t="shared" si="0"/>
        <v>Within Budget</v>
      </c>
    </row>
    <row r="50" spans="1:10" x14ac:dyDescent="0.3">
      <c r="A50" s="4">
        <v>44553</v>
      </c>
      <c r="B50" s="5" t="s">
        <v>6</v>
      </c>
      <c r="C50" s="9">
        <v>640</v>
      </c>
      <c r="D50" s="15" t="s">
        <v>26</v>
      </c>
      <c r="E50" s="15" t="str">
        <f t="shared" si="0"/>
        <v>Within Budget</v>
      </c>
    </row>
    <row r="51" spans="1:10" x14ac:dyDescent="0.3">
      <c r="A51" s="4">
        <v>44553</v>
      </c>
      <c r="B51" s="5" t="s">
        <v>5</v>
      </c>
      <c r="C51" s="9">
        <v>450</v>
      </c>
      <c r="D51" s="15" t="s">
        <v>25</v>
      </c>
      <c r="E51" s="15" t="str">
        <f t="shared" si="0"/>
        <v>Within Budget</v>
      </c>
    </row>
    <row r="52" spans="1:10" ht="31.2" x14ac:dyDescent="0.3">
      <c r="A52" s="2"/>
      <c r="C52" s="11">
        <f>SUM(C2:C51)</f>
        <v>57045.27</v>
      </c>
    </row>
    <row r="53" spans="1:10" ht="15.6" x14ac:dyDescent="0.3">
      <c r="A53" s="1"/>
      <c r="I53" s="3" t="s">
        <v>14</v>
      </c>
      <c r="J53" s="8" t="s">
        <v>1</v>
      </c>
    </row>
    <row r="54" spans="1:10" x14ac:dyDescent="0.3">
      <c r="I54" s="5" t="s">
        <v>2</v>
      </c>
      <c r="J54" s="9">
        <v>2300</v>
      </c>
    </row>
    <row r="55" spans="1:10" x14ac:dyDescent="0.3">
      <c r="I55" s="7" t="s">
        <v>3</v>
      </c>
      <c r="J55" s="9">
        <v>767</v>
      </c>
    </row>
    <row r="56" spans="1:10" x14ac:dyDescent="0.3">
      <c r="I56" s="5" t="s">
        <v>4</v>
      </c>
      <c r="J56" s="10">
        <v>2500</v>
      </c>
    </row>
    <row r="57" spans="1:10" x14ac:dyDescent="0.3">
      <c r="I57" s="7" t="s">
        <v>5</v>
      </c>
      <c r="J57" s="9">
        <v>710</v>
      </c>
    </row>
    <row r="58" spans="1:10" x14ac:dyDescent="0.3">
      <c r="I58" s="5" t="s">
        <v>6</v>
      </c>
      <c r="J58" s="9">
        <v>760</v>
      </c>
    </row>
    <row r="59" spans="1:10" x14ac:dyDescent="0.3">
      <c r="I59" s="7" t="s">
        <v>10</v>
      </c>
      <c r="J59" s="10">
        <v>1900</v>
      </c>
    </row>
    <row r="60" spans="1:10" x14ac:dyDescent="0.3">
      <c r="I60" s="5" t="s">
        <v>7</v>
      </c>
      <c r="J60" s="9">
        <v>450</v>
      </c>
    </row>
    <row r="61" spans="1:10" x14ac:dyDescent="0.3">
      <c r="I61" s="7" t="s">
        <v>8</v>
      </c>
      <c r="J61" s="9">
        <v>620</v>
      </c>
    </row>
    <row r="62" spans="1:10" x14ac:dyDescent="0.3">
      <c r="I62" s="7" t="s">
        <v>11</v>
      </c>
      <c r="J62" s="9">
        <v>470</v>
      </c>
    </row>
    <row r="63" spans="1:10" x14ac:dyDescent="0.3">
      <c r="I63" s="7" t="s">
        <v>3</v>
      </c>
      <c r="J63" s="9">
        <v>970</v>
      </c>
    </row>
    <row r="64" spans="1:10" x14ac:dyDescent="0.3">
      <c r="I64" s="5" t="s">
        <v>2</v>
      </c>
      <c r="J64" s="10">
        <v>1075</v>
      </c>
    </row>
    <row r="65" spans="9:10" x14ac:dyDescent="0.3">
      <c r="I65" s="7" t="s">
        <v>7</v>
      </c>
      <c r="J65" s="9">
        <v>489</v>
      </c>
    </row>
    <row r="66" spans="9:10" x14ac:dyDescent="0.3">
      <c r="I66" s="7" t="s">
        <v>4</v>
      </c>
      <c r="J66" s="10">
        <v>1574.1</v>
      </c>
    </row>
    <row r="67" spans="9:10" x14ac:dyDescent="0.3">
      <c r="I67" s="7" t="s">
        <v>6</v>
      </c>
      <c r="J67" s="9">
        <v>550</v>
      </c>
    </row>
    <row r="68" spans="9:10" x14ac:dyDescent="0.3">
      <c r="I68" s="7" t="s">
        <v>9</v>
      </c>
      <c r="J68" s="9">
        <v>423</v>
      </c>
    </row>
    <row r="69" spans="9:10" x14ac:dyDescent="0.3">
      <c r="I69" s="7" t="s">
        <v>9</v>
      </c>
      <c r="J69" s="9">
        <v>358.22</v>
      </c>
    </row>
    <row r="70" spans="9:10" x14ac:dyDescent="0.3">
      <c r="I70" s="7" t="s">
        <v>8</v>
      </c>
      <c r="J70" s="9">
        <v>520</v>
      </c>
    </row>
    <row r="71" spans="9:10" x14ac:dyDescent="0.3">
      <c r="I71" s="5" t="s">
        <v>5</v>
      </c>
      <c r="J71" s="9">
        <v>300</v>
      </c>
    </row>
    <row r="72" spans="9:10" x14ac:dyDescent="0.3">
      <c r="I72" s="5" t="s">
        <v>9</v>
      </c>
      <c r="J72" s="9">
        <v>407.05</v>
      </c>
    </row>
    <row r="73" spans="9:10" x14ac:dyDescent="0.3">
      <c r="I73" s="5" t="s">
        <v>4</v>
      </c>
      <c r="J73" s="9">
        <v>300</v>
      </c>
    </row>
    <row r="74" spans="9:10" x14ac:dyDescent="0.3">
      <c r="I74" s="7" t="s">
        <v>3</v>
      </c>
      <c r="J74" s="10">
        <v>2327</v>
      </c>
    </row>
    <row r="75" spans="9:10" x14ac:dyDescent="0.3">
      <c r="I75" s="7" t="s">
        <v>10</v>
      </c>
      <c r="J75" s="9">
        <v>1150</v>
      </c>
    </row>
    <row r="76" spans="9:10" x14ac:dyDescent="0.3">
      <c r="I76" s="7" t="s">
        <v>10</v>
      </c>
      <c r="J76" s="10">
        <v>1138</v>
      </c>
    </row>
    <row r="77" spans="9:10" x14ac:dyDescent="0.3">
      <c r="I77" s="5" t="s">
        <v>13</v>
      </c>
      <c r="J77" s="9">
        <v>500</v>
      </c>
    </row>
    <row r="78" spans="9:10" x14ac:dyDescent="0.3">
      <c r="I78" s="5" t="s">
        <v>6</v>
      </c>
      <c r="J78" s="9">
        <v>702</v>
      </c>
    </row>
    <row r="79" spans="9:10" x14ac:dyDescent="0.3">
      <c r="I79" s="7" t="s">
        <v>4</v>
      </c>
      <c r="J79" s="10">
        <v>1600</v>
      </c>
    </row>
    <row r="80" spans="9:10" x14ac:dyDescent="0.3">
      <c r="I80" s="7" t="s">
        <v>5</v>
      </c>
      <c r="J80" s="9">
        <v>600</v>
      </c>
    </row>
    <row r="81" spans="9:10" x14ac:dyDescent="0.3">
      <c r="I81" s="5" t="s">
        <v>13</v>
      </c>
      <c r="J81" s="9">
        <v>900</v>
      </c>
    </row>
    <row r="82" spans="9:10" x14ac:dyDescent="0.3">
      <c r="I82" s="5" t="s">
        <v>6</v>
      </c>
      <c r="J82" s="9">
        <v>150</v>
      </c>
    </row>
    <row r="83" spans="9:10" x14ac:dyDescent="0.3">
      <c r="I83" s="5" t="s">
        <v>2</v>
      </c>
      <c r="J83" s="9">
        <v>2100</v>
      </c>
    </row>
    <row r="84" spans="9:10" x14ac:dyDescent="0.3">
      <c r="I84" s="5" t="s">
        <v>11</v>
      </c>
      <c r="J84" s="9">
        <v>470.63</v>
      </c>
    </row>
    <row r="85" spans="9:10" x14ac:dyDescent="0.3">
      <c r="I85" s="5" t="s">
        <v>9</v>
      </c>
      <c r="J85" s="9">
        <v>322.64</v>
      </c>
    </row>
    <row r="86" spans="9:10" x14ac:dyDescent="0.3">
      <c r="I86" s="7" t="s">
        <v>8</v>
      </c>
      <c r="J86" s="9">
        <v>428</v>
      </c>
    </row>
    <row r="87" spans="9:10" x14ac:dyDescent="0.3">
      <c r="I87" s="5" t="s">
        <v>5</v>
      </c>
      <c r="J87" s="9">
        <v>447</v>
      </c>
    </row>
    <row r="88" spans="9:10" x14ac:dyDescent="0.3">
      <c r="I88" s="5" t="s">
        <v>4</v>
      </c>
      <c r="J88" s="10">
        <v>1720</v>
      </c>
    </row>
    <row r="89" spans="9:10" x14ac:dyDescent="0.3">
      <c r="I89" s="7" t="s">
        <v>6</v>
      </c>
      <c r="J89" s="9">
        <v>540</v>
      </c>
    </row>
    <row r="90" spans="9:10" x14ac:dyDescent="0.3">
      <c r="I90" s="5" t="s">
        <v>7</v>
      </c>
      <c r="J90" s="9">
        <v>314</v>
      </c>
    </row>
    <row r="91" spans="9:10" x14ac:dyDescent="0.3">
      <c r="I91" s="5" t="s">
        <v>8</v>
      </c>
      <c r="J91" s="9">
        <v>518</v>
      </c>
    </row>
    <row r="92" spans="9:10" x14ac:dyDescent="0.3">
      <c r="I92" s="7" t="s">
        <v>3</v>
      </c>
      <c r="J92" s="10">
        <v>2000</v>
      </c>
    </row>
    <row r="93" spans="9:10" x14ac:dyDescent="0.3">
      <c r="I93" s="7" t="s">
        <v>7</v>
      </c>
      <c r="J93" s="9">
        <v>337</v>
      </c>
    </row>
    <row r="94" spans="9:10" x14ac:dyDescent="0.3">
      <c r="I94" s="5" t="s">
        <v>8</v>
      </c>
      <c r="J94" s="9">
        <v>500</v>
      </c>
    </row>
    <row r="95" spans="9:10" x14ac:dyDescent="0.3">
      <c r="I95" s="5" t="s">
        <v>4</v>
      </c>
      <c r="J95" s="10">
        <v>2500</v>
      </c>
    </row>
    <row r="96" spans="9:10" x14ac:dyDescent="0.3">
      <c r="I96" s="7" t="s">
        <v>5</v>
      </c>
      <c r="J96" s="9">
        <v>710</v>
      </c>
    </row>
    <row r="97" spans="9:10" x14ac:dyDescent="0.3">
      <c r="I97" s="5" t="s">
        <v>2</v>
      </c>
      <c r="J97" s="9">
        <v>2300</v>
      </c>
    </row>
    <row r="98" spans="9:10" x14ac:dyDescent="0.3">
      <c r="I98" s="5" t="s">
        <v>12</v>
      </c>
      <c r="J98" s="9">
        <v>12000</v>
      </c>
    </row>
    <row r="99" spans="9:10" x14ac:dyDescent="0.3">
      <c r="I99" s="7" t="s">
        <v>10</v>
      </c>
      <c r="J99" s="9">
        <v>1500</v>
      </c>
    </row>
    <row r="100" spans="9:10" x14ac:dyDescent="0.3">
      <c r="I100" s="5" t="s">
        <v>11</v>
      </c>
      <c r="J100" s="9">
        <v>470.63</v>
      </c>
    </row>
    <row r="101" spans="9:10" x14ac:dyDescent="0.3">
      <c r="I101" s="5" t="s">
        <v>7</v>
      </c>
      <c r="J101" s="9">
        <v>267</v>
      </c>
    </row>
    <row r="102" spans="9:10" x14ac:dyDescent="0.3">
      <c r="I102" s="5" t="s">
        <v>6</v>
      </c>
      <c r="J102" s="9">
        <v>640</v>
      </c>
    </row>
    <row r="103" spans="9:10" x14ac:dyDescent="0.3">
      <c r="I103" s="5" t="s">
        <v>5</v>
      </c>
      <c r="J103" s="9">
        <v>450</v>
      </c>
    </row>
  </sheetData>
  <dataConsolidate/>
  <dataValidations count="2">
    <dataValidation type="list" allowBlank="1" showInputMessage="1" showErrorMessage="1" sqref="D2:D1048576" xr:uid="{C59D90C1-79D4-4868-9ADC-6D89B3CBA968}">
      <formula1>"Essential, Non-Essential"</formula1>
    </dataValidation>
    <dataValidation type="list" allowBlank="1" showInputMessage="1" showErrorMessage="1" sqref="D1" xr:uid="{6A1BA077-E926-4117-9E5E-877715E3F2E1}">
      <formula1>"Essentials, Non-Essentials"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B9"/>
  <sheetViews>
    <sheetView tabSelected="1" workbookViewId="0">
      <selection activeCell="B5" sqref="B5"/>
    </sheetView>
  </sheetViews>
  <sheetFormatPr defaultRowHeight="14.4" x14ac:dyDescent="0.3"/>
  <cols>
    <col min="2" max="2" width="61.33203125" bestFit="1" customWidth="1"/>
  </cols>
  <sheetData>
    <row r="1" spans="2:2" x14ac:dyDescent="0.3">
      <c r="B1" s="12" t="s">
        <v>23</v>
      </c>
    </row>
    <row r="2" spans="2:2" ht="28.8" x14ac:dyDescent="0.3">
      <c r="B2" s="13" t="s">
        <v>15</v>
      </c>
    </row>
    <row r="3" spans="2:2" x14ac:dyDescent="0.3">
      <c r="B3" s="13" t="s">
        <v>16</v>
      </c>
    </row>
    <row r="4" spans="2:2" x14ac:dyDescent="0.3">
      <c r="B4" s="13" t="s">
        <v>17</v>
      </c>
    </row>
    <row r="5" spans="2:2" ht="43.2" x14ac:dyDescent="0.3">
      <c r="B5" s="13" t="s">
        <v>18</v>
      </c>
    </row>
    <row r="6" spans="2:2" x14ac:dyDescent="0.3">
      <c r="B6" s="13" t="s">
        <v>19</v>
      </c>
    </row>
    <row r="7" spans="2:2" ht="43.2" x14ac:dyDescent="0.3">
      <c r="B7" s="13" t="s">
        <v>20</v>
      </c>
    </row>
    <row r="8" spans="2:2" ht="43.2" x14ac:dyDescent="0.3">
      <c r="B8" s="13" t="s">
        <v>21</v>
      </c>
    </row>
    <row r="9" spans="2:2" x14ac:dyDescent="0.3">
      <c r="B9" s="1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830F3-93F9-4CE5-A446-815141A58313}">
  <dimension ref="A1:H92"/>
  <sheetViews>
    <sheetView zoomScale="136" zoomScaleNormal="136" workbookViewId="0">
      <selection activeCell="E1" sqref="E1"/>
    </sheetView>
  </sheetViews>
  <sheetFormatPr defaultRowHeight="14.4" x14ac:dyDescent="0.3"/>
  <cols>
    <col min="1" max="1" width="8.77734375" customWidth="1"/>
    <col min="2" max="2" width="41.44140625" customWidth="1"/>
    <col min="3" max="3" width="23.5546875" bestFit="1" customWidth="1"/>
    <col min="4" max="4" width="15.5546875" bestFit="1" customWidth="1"/>
    <col min="5" max="5" width="15.44140625" customWidth="1"/>
    <col min="6" max="6" width="22.21875" customWidth="1"/>
    <col min="7" max="7" width="24.5546875" customWidth="1"/>
    <col min="8" max="8" width="14.44140625" customWidth="1"/>
  </cols>
  <sheetData>
    <row r="1" spans="1:7" ht="31.8" customHeight="1" x14ac:dyDescent="0.3">
      <c r="A1" s="16" t="s">
        <v>32</v>
      </c>
      <c r="B1" s="14" t="s">
        <v>15</v>
      </c>
    </row>
    <row r="3" spans="1:7" x14ac:dyDescent="0.3">
      <c r="C3" s="15" t="s">
        <v>27</v>
      </c>
      <c r="D3" s="15">
        <f>COUNTIF(Expense!B:B,Expense!I55)</f>
        <v>6</v>
      </c>
    </row>
    <row r="4" spans="1:7" x14ac:dyDescent="0.3">
      <c r="C4" s="15" t="s">
        <v>28</v>
      </c>
      <c r="D4" s="15">
        <f>COUNTIF(Expense!B:B,Expense!I60)</f>
        <v>5</v>
      </c>
    </row>
    <row r="5" spans="1:7" x14ac:dyDescent="0.3">
      <c r="C5" s="15" t="s">
        <v>29</v>
      </c>
      <c r="D5" s="15">
        <f>COUNTIF(Expense!B:B,Expense!I59)</f>
        <v>4</v>
      </c>
    </row>
    <row r="6" spans="1:7" x14ac:dyDescent="0.3">
      <c r="C6" s="26"/>
      <c r="D6" s="26"/>
    </row>
    <row r="7" spans="1:7" x14ac:dyDescent="0.3">
      <c r="A7" s="27"/>
      <c r="B7" s="27"/>
      <c r="C7" s="27"/>
      <c r="D7" s="27"/>
      <c r="E7" s="27"/>
      <c r="F7" s="27"/>
      <c r="G7" s="27"/>
    </row>
    <row r="9" spans="1:7" ht="28.8" x14ac:dyDescent="0.3">
      <c r="A9" s="16" t="s">
        <v>33</v>
      </c>
      <c r="B9" s="19" t="s">
        <v>16</v>
      </c>
    </row>
    <row r="10" spans="1:7" ht="14.4" customHeight="1" x14ac:dyDescent="0.3">
      <c r="C10" s="3" t="s">
        <v>14</v>
      </c>
      <c r="D10" s="8" t="s">
        <v>41</v>
      </c>
    </row>
    <row r="11" spans="1:7" x14ac:dyDescent="0.3">
      <c r="C11" s="18" t="s">
        <v>30</v>
      </c>
      <c r="D11" s="15">
        <f ca="1">SUMIF(Expense!B:B,Expense!I54,Expense!J53)</f>
        <v>7775</v>
      </c>
    </row>
    <row r="12" spans="1:7" x14ac:dyDescent="0.3">
      <c r="B12" s="17"/>
      <c r="C12" s="18" t="s">
        <v>27</v>
      </c>
      <c r="D12" s="15">
        <f ca="1">SUMIF(Expense!B:B,Expense!I55,Expense!J53)</f>
        <v>7464</v>
      </c>
    </row>
    <row r="13" spans="1:7" x14ac:dyDescent="0.3">
      <c r="B13" s="17"/>
      <c r="C13" s="18" t="s">
        <v>31</v>
      </c>
      <c r="D13" s="15">
        <f ca="1">SUMIF(Expense!B:B,Expense!I66,Expense!J53)</f>
        <v>10194.1</v>
      </c>
    </row>
    <row r="14" spans="1:7" x14ac:dyDescent="0.3">
      <c r="C14" s="18" t="s">
        <v>34</v>
      </c>
      <c r="D14" s="15">
        <f ca="1">SUMIF(Expense!B:B,Expense!I57,Expense!J53)</f>
        <v>3217</v>
      </c>
    </row>
    <row r="15" spans="1:7" x14ac:dyDescent="0.3">
      <c r="C15" s="18" t="s">
        <v>35</v>
      </c>
      <c r="D15" s="15">
        <f ca="1">SUMIF(Expense!B:B,Expense!I58,Expense!J53)</f>
        <v>3342</v>
      </c>
    </row>
    <row r="16" spans="1:7" x14ac:dyDescent="0.3">
      <c r="C16" s="18" t="s">
        <v>29</v>
      </c>
      <c r="D16" s="15">
        <f ca="1">SUMIF(Expense!B:B,Expense!I59,Expense!J53)</f>
        <v>5688</v>
      </c>
    </row>
    <row r="17" spans="1:7" x14ac:dyDescent="0.3">
      <c r="C17" s="18" t="s">
        <v>28</v>
      </c>
      <c r="D17" s="15">
        <f ca="1">SUMIF(Expense!B:B,Expense!I60,Expense!J53)</f>
        <v>1857</v>
      </c>
    </row>
    <row r="18" spans="1:7" x14ac:dyDescent="0.3">
      <c r="C18" s="18" t="s">
        <v>36</v>
      </c>
      <c r="D18" s="15">
        <f ca="1">SUMIF(Expense!B:B,Expense!I61,Expense!J53)</f>
        <v>2586</v>
      </c>
    </row>
    <row r="19" spans="1:7" x14ac:dyDescent="0.3">
      <c r="C19" s="18" t="s">
        <v>37</v>
      </c>
      <c r="D19" s="15">
        <f ca="1">SUMIF(Expense!B:B,Expense!I62,Expense!J53)</f>
        <v>1411.26</v>
      </c>
    </row>
    <row r="20" spans="1:7" x14ac:dyDescent="0.3">
      <c r="C20" s="18" t="s">
        <v>38</v>
      </c>
      <c r="D20" s="15">
        <f ca="1">SUMIF(Expense!B:B,Expense!I68,Expense!J53)</f>
        <v>1510.9099999999999</v>
      </c>
    </row>
    <row r="21" spans="1:7" x14ac:dyDescent="0.3">
      <c r="C21" s="18" t="s">
        <v>39</v>
      </c>
      <c r="D21" s="15">
        <f ca="1">SUMIF(Expense!B:B,Expense!I98,Expense!J53)</f>
        <v>12000</v>
      </c>
    </row>
    <row r="22" spans="1:7" x14ac:dyDescent="0.3">
      <c r="C22" s="28"/>
      <c r="D22" s="26"/>
    </row>
    <row r="23" spans="1:7" x14ac:dyDescent="0.3">
      <c r="A23" s="27"/>
      <c r="B23" s="27"/>
      <c r="C23" s="27"/>
      <c r="D23" s="27"/>
      <c r="E23" s="27"/>
      <c r="F23" s="27"/>
      <c r="G23" s="27"/>
    </row>
    <row r="24" spans="1:7" ht="28.8" customHeight="1" x14ac:dyDescent="0.3">
      <c r="A24" s="16" t="s">
        <v>40</v>
      </c>
      <c r="B24" s="20" t="s">
        <v>17</v>
      </c>
      <c r="C24" s="22"/>
      <c r="D24" s="21"/>
    </row>
    <row r="25" spans="1:7" x14ac:dyDescent="0.3">
      <c r="B25" s="24"/>
      <c r="C25" s="25"/>
      <c r="D25" s="23"/>
    </row>
    <row r="26" spans="1:7" x14ac:dyDescent="0.3">
      <c r="C26" s="3" t="s">
        <v>14</v>
      </c>
      <c r="D26" s="8" t="s">
        <v>41</v>
      </c>
    </row>
    <row r="27" spans="1:7" x14ac:dyDescent="0.3">
      <c r="C27" s="18" t="s">
        <v>39</v>
      </c>
      <c r="D27" s="15">
        <v>12000</v>
      </c>
    </row>
    <row r="28" spans="1:7" x14ac:dyDescent="0.3">
      <c r="C28" s="18" t="s">
        <v>31</v>
      </c>
      <c r="D28" s="15">
        <v>10194.1</v>
      </c>
    </row>
    <row r="29" spans="1:7" x14ac:dyDescent="0.3">
      <c r="C29" s="18" t="s">
        <v>30</v>
      </c>
      <c r="D29" s="15">
        <v>7775</v>
      </c>
    </row>
    <row r="30" spans="1:7" x14ac:dyDescent="0.3">
      <c r="C30" s="18" t="s">
        <v>27</v>
      </c>
      <c r="D30" s="15">
        <v>7464</v>
      </c>
    </row>
    <row r="31" spans="1:7" x14ac:dyDescent="0.3">
      <c r="C31" s="18" t="s">
        <v>29</v>
      </c>
      <c r="D31" s="15">
        <v>5688</v>
      </c>
    </row>
    <row r="32" spans="1:7" x14ac:dyDescent="0.3">
      <c r="C32" s="18" t="s">
        <v>35</v>
      </c>
      <c r="D32" s="15">
        <v>3342</v>
      </c>
    </row>
    <row r="33" spans="1:7" x14ac:dyDescent="0.3">
      <c r="C33" s="18" t="s">
        <v>34</v>
      </c>
      <c r="D33" s="15">
        <v>3217</v>
      </c>
    </row>
    <row r="34" spans="1:7" x14ac:dyDescent="0.3">
      <c r="C34" s="18" t="s">
        <v>36</v>
      </c>
      <c r="D34" s="15">
        <v>2586</v>
      </c>
    </row>
    <row r="35" spans="1:7" x14ac:dyDescent="0.3">
      <c r="C35" s="18" t="s">
        <v>28</v>
      </c>
      <c r="D35" s="15">
        <v>1857</v>
      </c>
    </row>
    <row r="36" spans="1:7" x14ac:dyDescent="0.3">
      <c r="C36" s="18" t="s">
        <v>38</v>
      </c>
      <c r="D36" s="15">
        <v>1510.9099999999999</v>
      </c>
    </row>
    <row r="37" spans="1:7" x14ac:dyDescent="0.3">
      <c r="C37" s="18" t="s">
        <v>37</v>
      </c>
      <c r="D37" s="15">
        <v>1411.26</v>
      </c>
    </row>
    <row r="39" spans="1:7" x14ac:dyDescent="0.3">
      <c r="A39" s="27"/>
      <c r="B39" s="27"/>
      <c r="C39" s="27"/>
      <c r="D39" s="27"/>
      <c r="E39" s="27"/>
      <c r="F39" s="27"/>
      <c r="G39" s="27"/>
    </row>
    <row r="67" spans="6:7" x14ac:dyDescent="0.3">
      <c r="F67" s="5" t="s">
        <v>2</v>
      </c>
      <c r="G67" s="9">
        <v>2300</v>
      </c>
    </row>
    <row r="87" spans="7:8" x14ac:dyDescent="0.3">
      <c r="G87" s="5" t="s">
        <v>12</v>
      </c>
      <c r="H87" s="9">
        <v>12000</v>
      </c>
    </row>
    <row r="88" spans="7:8" x14ac:dyDescent="0.3">
      <c r="G88" s="7" t="s">
        <v>10</v>
      </c>
      <c r="H88" s="9">
        <v>1500</v>
      </c>
    </row>
    <row r="89" spans="7:8" x14ac:dyDescent="0.3">
      <c r="G89" s="5" t="s">
        <v>11</v>
      </c>
      <c r="H89" s="9">
        <v>470.63</v>
      </c>
    </row>
    <row r="90" spans="7:8" x14ac:dyDescent="0.3">
      <c r="G90" s="5" t="s">
        <v>7</v>
      </c>
      <c r="H90" s="9">
        <v>267</v>
      </c>
    </row>
    <row r="91" spans="7:8" x14ac:dyDescent="0.3">
      <c r="G91" s="5" t="s">
        <v>6</v>
      </c>
      <c r="H91" s="9">
        <v>640</v>
      </c>
    </row>
    <row r="92" spans="7:8" x14ac:dyDescent="0.3">
      <c r="G92" s="5" t="s">
        <v>5</v>
      </c>
      <c r="H92" s="9">
        <v>450</v>
      </c>
    </row>
  </sheetData>
  <sortState xmlns:xlrd2="http://schemas.microsoft.com/office/spreadsheetml/2017/richdata2" ref="C27:D37">
    <sortCondition descending="1" ref="D27:D37"/>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860DF1-35E5-4013-B489-09678ED764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vt:lpstr>
      <vt:lpstr>Tasks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Bhavishya Jindal</cp:lastModifiedBy>
  <dcterms:created xsi:type="dcterms:W3CDTF">2015-06-05T18:17:20Z</dcterms:created>
  <dcterms:modified xsi:type="dcterms:W3CDTF">2026-05-18T13:59:40Z</dcterms:modified>
</cp:coreProperties>
</file>